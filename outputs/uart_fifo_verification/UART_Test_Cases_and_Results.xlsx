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f4a0381de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061766085e734a68"/>
    <x:sheet xmlns:r="http://schemas.openxmlformats.org/officeDocument/2006/relationships" name="Test Cases" sheetId="2" r:id="R770ac1c4f2b24654"/>
    <x:sheet xmlns:r="http://schemas.openxmlformats.org/officeDocument/2006/relationships" name="Signal Guide" sheetId="3" r:id="R50a97e7ff1c5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 &quot;ns&quot;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02060"/>
      <x:name val="Carlito"/>
    </x:font>
    <x:font>
      <x:sz val="9"/>
      <x:color rgb="FF7F6000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8"/>
      <x:color rgb="FFFFFFFF"/>
      <x:name val="Carlito"/>
    </x:font>
    <x:font>
      <x:i/>
      <x:sz val="11"/>
      <x:color rgb="FF002060"/>
      <x:name val="Carlito"/>
    </x:font>
    <x:font>
      <x:b/>
      <x:sz val="11"/>
      <x:color rgb="FFFFFFFF"/>
      <x:name val="Carlito"/>
    </x:font>
    <x:font>
      <x:b/>
      <x:sz val="11"/>
      <x:color rgb="FF002060"/>
      <x:name val="Carlito"/>
    </x:font>
    <x:font>
      <x:b/>
      <x:sz val="12"/>
      <x:name val="Carlito"/>
    </x:font>
    <x:font>
      <x:sz val="10"/>
      <x:color rgb="FF1F2937"/>
      <x:name val="Carlito"/>
    </x:font>
    <x:font>
      <x:sz val="9"/>
      <x:name val="Carlito"/>
    </x:font>
    <x:font>
      <x:b/>
      <x:sz val="9"/>
      <x:color rgb="FF00206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D9E1F2"/>
      </x:patternFill>
    </x:fill>
    <x:fill>
      <x:patternFill patternType="solid">
        <x:fgColor rgb="FFFFFF99"/>
      </x:patternFill>
    </x:fill>
    <x:fill>
      <x:patternFill patternType="solid">
        <x:fgColor rgb="FFF3F3F3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horizontal="center" vertical="center"/>
    </x:xf>
    <x:xf numFmtId="201" fontId="10" fillId="0" borderId="1" xfId="0" applyNumberFormat="1" applyFont="1" applyFill="1" applyBorder="1" applyAlignment="1">
      <x:alignment horizontal="center" vertical="center"/>
    </x:xf>
    <x:xf numFmtId="202" fontId="10" fillId="0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2" xfId="0" applyNumberFormat="1" applyFont="1" applyFill="1" applyBorder="1"/>
    <x:xf numFmtId="0" fontId="11" fillId="5" borderId="2" xfId="0" applyNumberFormat="1" applyFont="1" applyFill="1" applyBorder="1" applyAlignment="1">
      <x:alignment wrapText="1"/>
    </x:xf>
    <x:xf numFmtId="0" fontId="11" fillId="5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/>
    <x:xf numFmtId="0" fontId="12" fillId="0" borderId="2" xfId="0" applyNumberFormat="1" applyFont="1" applyFill="1" applyBorder="1"/>
    <x:xf numFmtId="0" fontId="12" fillId="0" borderId="2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3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CFF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F99"/>
        </x:patternFill>
      </x:fill>
    </x:dxf>
    <x:dxf>
      <x:font>
        <x:b/>
        <x:color rgb="FF006100"/>
      </x:font>
      <x:fill>
        <x:patternFill patternType="solid">
          <x:bgColor rgb="FFCCFF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2564620c94159" /><Relationship Type="http://schemas.openxmlformats.org/officeDocument/2006/relationships/theme" Target="/xl/theme/theme1.xml" Id="R737e43255a30440c" /><Relationship Type="http://schemas.openxmlformats.org/officeDocument/2006/relationships/sharedStrings" Target="/xl/sharedStrings.xml" Id="R4291d9c8323749b7" /><Relationship Type="http://schemas.openxmlformats.org/officeDocument/2006/relationships/worksheet" Target="/xl/worksheets/sheet1.xml" Id="R061766085e734a68" /><Relationship Type="http://schemas.openxmlformats.org/officeDocument/2006/relationships/worksheet" Target="/xl/worksheets/sheet2.xml" Id="R770ac1c4f2b24654" /><Relationship Type="http://schemas.openxmlformats.org/officeDocument/2006/relationships/worksheet" Target="/xl/worksheets/sheet3.xml" Id="R50a97e7ff1c54afd" /></Relationships>
</file>

<file path=xl/tables/table1.xml><?xml version="1.0" encoding="utf-8"?>
<x:table xmlns:x="http://schemas.openxmlformats.org/spreadsheetml/2006/main" id="1" name="UARTTestCases" displayName="UARTTestCases" ref="A5:L17" headerRowCount="1" totalsRowCount="0" totalsRowShown="0">
  <x:tableColumns count="12">
    <x:tableColumn id="1" name="ID"/>
    <x:tableColumn id="2" name="Area"/>
    <x:tableColumn id="3" name="Situation / Setup"/>
    <x:tableColumn id="4" name="Stimulus"/>
    <x:tableColumn id="5" name="Expected Result"/>
    <x:tableColumn id="6" name="Observed XSim Result"/>
    <x:tableColumn id="7" name="Status"/>
    <x:tableColumn id="8" name="Start (ns)"/>
    <x:tableColumn id="9" name="End (ns)"/>
    <x:tableColumn id="10" name="Duration (ns)"/>
    <x:tableColumn id="11" name="Key Signals"/>
    <x:tableColumn id="12" name="Waveform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RTSignalGuide" displayName="UARTSignalGuide" ref="A3:E16" headerRowCount="1" totalsRowCount="0" totalsRowShown="0">
  <x:tableColumns count="5">
    <x:tableColumn id="1" name="Signal"/>
    <x:tableColumn id="2" name="Location"/>
    <x:tableColumn id="3" name="Meaning"/>
    <x:tableColumn id="4" name="Expected waveform behavior"/>
    <x:tableColumn id="5" name="Used in tes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e235a40289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1b9a8ff1dd4e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25" t="str">
        <x:v>UART FIFO VERIFICATION - EXECUTION SUMMARY</x:v>
      </x:c>
      <x:c r="B1" s="25"/>
      <x:c r="C1" s="25"/>
      <x:c r="D1" s="25"/>
      <x:c r="E1" s="25"/>
      <x:c r="F1" s="25"/>
      <x:c r="G1" s="25"/>
      <x:c r="H1" s="25"/>
    </x:row>
    <x:row r="2">
      <x:c r="A2" s="27" t="str">
        <x:v>Design: 8-N-1 UART loopback | TX FIFO: 16x8 | RX FIFO: 16x8 | Simulator: AMD Vivado 2024.1 XSim</x:v>
      </x:c>
      <x:c r="B2" s="27"/>
      <x:c r="C2" s="27"/>
      <x:c r="D2" s="27"/>
      <x:c r="E2" s="27"/>
      <x:c r="F2" s="27"/>
      <x:c r="G2" s="27"/>
      <x:c r="H2" s="27"/>
    </x:row>
    <x:row r="4" ht="28" customHeight="1">
      <x:c r="A4" s="32" t="str">
        <x:v>Metric</x:v>
      </x:c>
      <x:c r="B4" s="32" t="str">
        <x:v>Value</x:v>
      </x:c>
      <x:c r="D4" s="40" t="str">
        <x:v>Verification scope</x:v>
      </x:c>
      <x:c r="E4" s="40"/>
      <x:c r="F4" s="40"/>
      <x:c r="G4" s="40"/>
      <x:c r="H4" s="40"/>
    </x:row>
    <x:row r="5" ht="34" customHeight="1">
      <x:c r="A5" s="34" t="str">
        <x:v>Total test cases</x:v>
      </x:c>
      <x:c r="B5" s="36" t="n">
        <x:f>COUNTA('Test Cases'!$A$6:$A$17)</x:f>
        <x:v>12</x:v>
      </x:c>
      <x:c r="D5" s="45" t="str">
        <x:v>UART framing and loopback data correctness</x:v>
      </x:c>
      <x:c r="E5" s="45"/>
      <x:c r="F5" s="45"/>
      <x:c r="G5" s="45"/>
      <x:c r="H5" s="45"/>
    </x:row>
    <x:row r="6" ht="34" customHeight="1">
      <x:c r="A6" s="34" t="str">
        <x:v>Passed</x:v>
      </x:c>
      <x:c r="B6" s="36" t="n">
        <x:f>COUNTIF('Test Cases'!$G$6:$G$17,"PASS")</x:f>
        <x:v>12</x:v>
      </x:c>
      <x:c r="D6" s="45" t="str">
        <x:v>All-zero, all-one, and alternating bit patterns</x:v>
      </x:c>
      <x:c r="E6" s="45"/>
      <x:c r="F6" s="45"/>
      <x:c r="G6" s="45"/>
      <x:c r="H6" s="45"/>
    </x:row>
    <x:row r="7" ht="34" customHeight="1">
      <x:c r="A7" s="34" t="str">
        <x:v>Failed</x:v>
      </x:c>
      <x:c r="B7" s="36" t="n">
        <x:f>COUNTIF('Test Cases'!$G$6:$G$17,"FAIL")</x:f>
        <x:v>0</x:v>
      </x:c>
      <x:c r="D7" s="45" t="str">
        <x:v>Back-to-back TX writes and FIFO ordering</x:v>
      </x:c>
      <x:c r="E7" s="45"/>
      <x:c r="F7" s="45"/>
      <x:c r="G7" s="45"/>
      <x:c r="H7" s="45"/>
    </x:row>
    <x:row r="8" ht="34" customHeight="1">
      <x:c r="A8" s="34" t="str">
        <x:v>Pass rate</x:v>
      </x:c>
      <x:c r="B8" s="37" t="n">
        <x:f>B6/B5</x:f>
        <x:v>1</x:v>
      </x:c>
      <x:c r="D8" s="45" t="str">
        <x:v>Delayed RX reads, FIFO hold, and ordered dequeue</x:v>
      </x:c>
      <x:c r="E8" s="45"/>
      <x:c r="F8" s="45"/>
      <x:c r="G8" s="45"/>
      <x:c r="H8" s="45"/>
    </x:row>
    <x:row r="9" ht="34" customHeight="1">
      <x:c r="A9" s="34" t="str">
        <x:v>Simulation end</x:v>
      </x:c>
      <x:c r="B9" s="38" t="n">
        <x:f>MAX('Test Cases'!$I$6:$I$17)</x:f>
        <x:v>4098</x:v>
      </x:c>
      <x:c r="D9" s="45" t="str">
        <x:v>Mid-transfer reset and post-reset recovery</x:v>
      </x:c>
      <x:c r="E9" s="45"/>
      <x:c r="F9" s="45"/>
      <x:c r="G9" s="45"/>
      <x:c r="H9" s="45"/>
    </x:row>
    <x:row r="10" ht="34" customHeight="1">
      <x:c r="A10" s="34" t="str">
        <x:v>Overall result</x:v>
      </x:c>
      <x:c r="B10" s="36" t="str">
        <x:f>IF(B7=0,"PASS","FAIL")</x:f>
        <x:v>PASS</x:v>
      </x:c>
      <x:c r="D10" s="45" t="str">
        <x:v>FIFO full, overflow protection, simultaneous I/O, wrap-around</x:v>
      </x:c>
      <x:c r="E10" s="45"/>
      <x:c r="F10" s="45"/>
      <x:c r="G10" s="45"/>
      <x:c r="H10" s="45"/>
    </x:row>
    <x:row r="13">
      <x:c r="A13" s="40" t="str">
        <x:v>Evidence files</x:v>
      </x:c>
      <x:c r="B13" s="40"/>
      <x:c r="C13" s="40"/>
      <x:c r="D13" s="40"/>
      <x:c r="E13" s="40"/>
      <x:c r="F13" s="40"/>
      <x:c r="G13" s="40"/>
      <x:c r="H13" s="40"/>
    </x:row>
    <x:row r="14" ht="30" customHeight="1">
      <x:c r="A14" s="50" t="str">
        <x:v>Vivado project</x:v>
      </x:c>
      <x:c r="B14" s="48" t="str">
        <x:v>vivado/uart_fifo_verification/uart_fifo_verification.xpr</x:v>
      </x:c>
    </x:row>
    <x:row r="15" ht="30" customHeight="1">
      <x:c r="A15" s="50" t="str">
        <x:v>Wave configuration</x:v>
      </x:c>
      <x:c r="B15" s="48" t="str">
        <x:v>vivado/uart_fifo_verification/uart_fifo_waveform.wcfg</x:v>
      </x:c>
    </x:row>
    <x:row r="16" ht="30" customHeight="1">
      <x:c r="A16" s="50" t="str">
        <x:v>Exact waveform data</x:v>
      </x:c>
      <x:c r="B16" s="48" t="str">
        <x:v>vivado/uart_fifo_verification/uart_fifo_waveform.vcd</x:v>
      </x:c>
    </x:row>
    <x:row r="17" ht="30" customHeight="1">
      <x:c r="A17" s="50" t="str">
        <x:v>XSim transcript</x:v>
      </x:c>
      <x:c r="B17" s="48" t="str">
        <x:v>vivado/.../xsim/vivado_xsim_results.log</x:v>
      </x:c>
    </x:row>
    <x:row r="18" ht="30" customHeight="1">
      <x:c r="A18" s="50" t="str">
        <x:v>Self-checking testbench</x:v>
      </x:c>
      <x:c r="B18" s="48" t="str">
        <x:v>rtlCode/uart_top_tb.v</x:v>
      </x:c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A13:H13"/>
  </x:mergeCells>
  <x:conditionalFormatting sqref="B10:B10">
    <x:cfRule type="containsText" dxfId="3" priority="1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32" hidden="0" customWidth="1"/>
    <x:col min="4" max="4" width="30" hidden="0" customWidth="1"/>
    <x:col min="5" max="5" width="37" hidden="0" customWidth="1"/>
    <x:col min="6" max="6" width="35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39" hidden="0" customWidth="1"/>
    <x:col min="12" max="12" width="27" hidden="0" customWidth="1"/>
  </x:cols>
  <x:sheetData>
    <x:row r="1" ht="32" customHeight="1">
      <x:c r="A1" s="4" t="str">
        <x:v>UART WITH TX/RX FIFOs - VIVADO TEST CASES AND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Simple functional verification | AMD Vivado 2024.1 XSim | 1 ps resolution | Internal loopback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8" customHeight="1">
      <x:c r="A3" s="11" t="str">
        <x:v>Timing values below are taken from the self-checking XSim transcript. Status is PASS only when the expected condition was checked by the testbench.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 ht="34" customHeight="1">
      <x:c r="A5" s="16" t="str">
        <x:v>ID</x:v>
      </x:c>
      <x:c r="B5" s="16" t="str">
        <x:v>Area</x:v>
      </x:c>
      <x:c r="C5" s="16" t="str">
        <x:v>Situation / Setup</x:v>
      </x:c>
      <x:c r="D5" s="16" t="str">
        <x:v>Stimulus</x:v>
      </x:c>
      <x:c r="E5" s="16" t="str">
        <x:v>Expected Result</x:v>
      </x:c>
      <x:c r="F5" s="16" t="str">
        <x:v>Observed XSim Result</x:v>
      </x:c>
      <x:c r="G5" s="16" t="str">
        <x:v>Status</x:v>
      </x:c>
      <x:c r="H5" s="16" t="str">
        <x:v>Start (ns)</x:v>
      </x:c>
      <x:c r="I5" s="16" t="str">
        <x:v>End (ns)</x:v>
      </x:c>
      <x:c r="J5" s="16" t="str">
        <x:v>Duration (ns)</x:v>
      </x:c>
      <x:c r="K5" s="16" t="str">
        <x:v>Key Signals</x:v>
      </x:c>
      <x:c r="L5" s="16" t="str">
        <x:v>Waveform / Notes</x:v>
      </x:c>
    </x:row>
    <x:row r="6" ht="58" customHeight="1">
      <x:c r="A6" s="21" t="str">
        <x:v>TC01</x:v>
      </x:c>
      <x:c r="B6" s="21" t="str">
        <x:v>Reset / idle</x:v>
      </x:c>
      <x:c r="C6" s="20" t="str">
        <x:v>Hold reset, then release and allow two clocks to settle.</x:v>
      </x:c>
      <x:c r="D6" s="20" t="str">
        <x:v>No UART write.</x:v>
      </x:c>
      <x:c r="E6" s="20" t="str">
        <x:v>TX idle, serial line high, both FIFOs empty, rdy low.</x:v>
      </x:c>
      <x:c r="F6" s="20" t="str">
        <x:v>All reset/idle assertions passed at 10 ns.</x:v>
      </x:c>
      <x:c r="G6" s="21" t="str">
        <x:v>PASS</x:v>
      </x:c>
      <x:c r="H6" s="22" t="n">
        <x:v>0</x:v>
      </x:c>
      <x:c r="I6" s="22" t="n">
        <x:v>10</x:v>
      </x:c>
      <x:c r="J6" s="22" t="n">
        <x:f>I6-H6</x:f>
        <x:v>10</x:v>
      </x:c>
      <x:c r="K6" s="20" t="str">
        <x:v>reset, busy, tx_line, tx_fifo_empty, rx_fifo_empty, rdy</x:v>
      </x:c>
      <x:c r="L6" s="20" t="str">
        <x:v>Overview: initial 0-10 ns</x:v>
      </x:c>
    </x:row>
    <x:row r="7" ht="58" customHeight="1">
      <x:c r="A7" s="21" t="str">
        <x:v>TC02</x:v>
      </x:c>
      <x:c r="B7" s="21" t="str">
        <x:v>UART data</x:v>
      </x:c>
      <x:c r="C7" s="20" t="str">
        <x:v>Normal empty system.</x:v>
      </x:c>
      <x:c r="D7" s="20" t="str">
        <x:v>Send 8'hA5 and pop one RX byte.</x:v>
      </x:c>
      <x:c r="E7" s="20" t="str">
        <x:v>Receive A5 unchanged.</x:v>
      </x:c>
      <x:c r="F7" s="20" t="str">
        <x:v>A5 received and checked at 350 ns.</x:v>
      </x:c>
      <x:c r="G7" s="21" t="str">
        <x:v>PASS</x:v>
      </x:c>
      <x:c r="H7" s="22" t="n">
        <x:v>10</x:v>
      </x:c>
      <x:c r="I7" s="22" t="n">
        <x:v>350</x:v>
      </x:c>
      <x:c r="J7" s="22" t="n">
        <x:f>I7-H7</x:f>
        <x:v>340</x:v>
      </x:c>
      <x:c r="K7" s="20" t="str">
        <x:v>wr_en, data_in, tx_line, rx_byte_ready, data_out</x:v>
      </x:c>
      <x:c r="L7" s="20" t="str">
        <x:v>Overview: phase 2</x:v>
      </x:c>
    </x:row>
    <x:row r="8" ht="58" customHeight="1">
      <x:c r="A8" s="21" t="str">
        <x:v>TC03</x:v>
      </x:c>
      <x:c r="B8" s="21" t="str">
        <x:v>UART data</x:v>
      </x:c>
      <x:c r="C8" s="20" t="str">
        <x:v>Normal empty system.</x:v>
      </x:c>
      <x:c r="D8" s="20" t="str">
        <x:v>Send 8'h00.</x:v>
      </x:c>
      <x:c r="E8" s="20" t="str">
        <x:v>Start bit, eight zero data bits, stop bit; receive 00.</x:v>
      </x:c>
      <x:c r="F8" s="20" t="str">
        <x:v>00 received and checked at 670 ns.</x:v>
      </x:c>
      <x:c r="G8" s="21" t="str">
        <x:v>PASS</x:v>
      </x:c>
      <x:c r="H8" s="22" t="n">
        <x:v>350</x:v>
      </x:c>
      <x:c r="I8" s="22" t="n">
        <x:v>670</x:v>
      </x:c>
      <x:c r="J8" s="22" t="n">
        <x:f>I8-H8</x:f>
        <x:v>320</x:v>
      </x:c>
      <x:c r="K8" s="20" t="str">
        <x:v>tx_line, data_out, rdy</x:v>
      </x:c>
      <x:c r="L8" s="20" t="str">
        <x:v>Overview: phase 3</x:v>
      </x:c>
    </x:row>
    <x:row r="9" ht="58" customHeight="1">
      <x:c r="A9" s="21" t="str">
        <x:v>TC04</x:v>
      </x:c>
      <x:c r="B9" s="21" t="str">
        <x:v>UART data</x:v>
      </x:c>
      <x:c r="C9" s="20" t="str">
        <x:v>Normal empty system.</x:v>
      </x:c>
      <x:c r="D9" s="20" t="str">
        <x:v>Send 8'hFF.</x:v>
      </x:c>
      <x:c r="E9" s="20" t="str">
        <x:v>Receive FF; verifies all-one payload and stop/idle high.</x:v>
      </x:c>
      <x:c r="F9" s="20" t="str">
        <x:v>FF received and checked at 990 ns.</x:v>
      </x:c>
      <x:c r="G9" s="21" t="str">
        <x:v>PASS</x:v>
      </x:c>
      <x:c r="H9" s="22" t="n">
        <x:v>670</x:v>
      </x:c>
      <x:c r="I9" s="22" t="n">
        <x:v>990</x:v>
      </x:c>
      <x:c r="J9" s="22" t="n">
        <x:f>I9-H9</x:f>
        <x:v>320</x:v>
      </x:c>
      <x:c r="K9" s="20" t="str">
        <x:v>tx_line, data_out, rdy</x:v>
      </x:c>
      <x:c r="L9" s="20" t="str">
        <x:v>Overview: phase 4</x:v>
      </x:c>
    </x:row>
    <x:row r="10" ht="58" customHeight="1">
      <x:c r="A10" s="21" t="str">
        <x:v>TC05</x:v>
      </x:c>
      <x:c r="B10" s="21" t="str">
        <x:v>Bit patterns</x:v>
      </x:c>
      <x:c r="C10" s="20" t="str">
        <x:v>Normal empty system.</x:v>
      </x:c>
      <x:c r="D10" s="20" t="str">
        <x:v>Send 8'h55 followed by 8'hAA.</x:v>
      </x:c>
      <x:c r="E10" s="20" t="str">
        <x:v>Both alternating patterns return in order.</x:v>
      </x:c>
      <x:c r="F10" s="20" t="str">
        <x:v>55 and AA both checked at 1630 ns.</x:v>
      </x:c>
      <x:c r="G10" s="21" t="str">
        <x:v>PASS</x:v>
      </x:c>
      <x:c r="H10" s="22" t="n">
        <x:v>990</x:v>
      </x:c>
      <x:c r="I10" s="22" t="n">
        <x:v>1630</x:v>
      </x:c>
      <x:c r="J10" s="22" t="n">
        <x:f>I10-H10</x:f>
        <x:v>640</x:v>
      </x:c>
      <x:c r="K10" s="20" t="str">
        <x:v>data_in, tx_line, rx_byte, data_out</x:v>
      </x:c>
      <x:c r="L10" s="20" t="str">
        <x:v>Overview: phase 5</x:v>
      </x:c>
    </x:row>
    <x:row r="11" ht="58" customHeight="1">
      <x:c r="A11" s="21" t="str">
        <x:v>TC06</x:v>
      </x:c>
      <x:c r="B11" s="21" t="str">
        <x:v>TX FIFO</x:v>
      </x:c>
      <x:c r="C11" s="20" t="str">
        <x:v>Do not wait for UART between user writes.</x:v>
      </x:c>
      <x:c r="D11" s="20" t="str">
        <x:v>Queue 11,22,33,44,77,88 on consecutive write pulses.</x:v>
      </x:c>
      <x:c r="E11" s="20" t="str">
        <x:v>TX FIFO accepts burst and drains in order while TX stays active.</x:v>
      </x:c>
      <x:c r="F11" s="20" t="str">
        <x:v>Six-byte burst accepted; TX FIFO empty at 3547 ns.</x:v>
      </x:c>
      <x:c r="G11" s="21" t="str">
        <x:v>PASS</x:v>
      </x:c>
      <x:c r="H11" s="22" t="n">
        <x:v>1630</x:v>
      </x:c>
      <x:c r="I11" s="22" t="n">
        <x:v>3547</x:v>
      </x:c>
      <x:c r="J11" s="22" t="n">
        <x:f>I11-H11</x:f>
        <x:v>1917</x:v>
      </x:c>
      <x:c r="K11" s="20" t="str">
        <x:v>wr_en, data_in, tx_fifo.count, busy, tx_line</x:v>
      </x:c>
      <x:c r="L11" s="20" t="str">
        <x:v>Detail figure: TC06-TC07</x:v>
      </x:c>
    </x:row>
    <x:row r="12" ht="58" customHeight="1">
      <x:c r="A12" s="21" t="str">
        <x:v>TC07</x:v>
      </x:c>
      <x:c r="B12" s="21" t="str">
        <x:v>RX FIFO</x:v>
      </x:c>
      <x:c r="C12" s="20" t="str">
        <x:v>Do not pop received data during the six-byte burst.</x:v>
      </x:c>
      <x:c r="D12" s="20" t="str">
        <x:v>Hold first byte, then pulse rdy_clr six times.</x:v>
      </x:c>
      <x:c r="E12" s="20" t="str">
        <x:v>RX FIFO count reaches 6; front stays 11; reads return 11,22,33,44,77,88; rdy clears last.</x:v>
      </x:c>
      <x:c r="F12" s="20" t="str">
        <x:v>Hold, stable front, ordered pops, and empty flag checked at 3590 ns.</x:v>
      </x:c>
      <x:c r="G12" s="21" t="str">
        <x:v>PASS</x:v>
      </x:c>
      <x:c r="H12" s="22" t="n">
        <x:v>3547</x:v>
      </x:c>
      <x:c r="I12" s="22" t="n">
        <x:v>3590</x:v>
      </x:c>
      <x:c r="J12" s="22" t="n">
        <x:f>I12-H12</x:f>
        <x:v>43</x:v>
      </x:c>
      <x:c r="K12" s="20" t="str">
        <x:v>rx_byte_ready, rx_byte, rx_fifo.count, rdy, rdy_clr, data_out</x:v>
      </x:c>
      <x:c r="L12" s="20" t="str">
        <x:v>Detail figure: TC06-TC07</x:v>
      </x:c>
    </x:row>
    <x:row r="13" ht="58" customHeight="1">
      <x:c r="A13" s="21" t="str">
        <x:v>TC08</x:v>
      </x:c>
      <x:c r="B13" s="21" t="str">
        <x:v>Reset recovery</x:v>
      </x:c>
      <x:c r="C13" s="20" t="str">
        <x:v>Begin a two-byte transfer and assert reset while busy.</x:v>
      </x:c>
      <x:c r="D13" s="20" t="str">
        <x:v>Queue C3 and 5A; pulse reset.</x:v>
      </x:c>
      <x:c r="E13" s="20" t="str">
        <x:v>TX stops, line returns high, both FIFOs flush, rdy low.</x:v>
      </x:c>
      <x:c r="F13" s="20" t="str">
        <x:v>All reset-flush assertions passed at 3606 ns.</x:v>
      </x:c>
      <x:c r="G13" s="21" t="str">
        <x:v>PASS</x:v>
      </x:c>
      <x:c r="H13" s="22" t="n">
        <x:v>3590</x:v>
      </x:c>
      <x:c r="I13" s="22" t="n">
        <x:v>3606</x:v>
      </x:c>
      <x:c r="J13" s="22" t="n">
        <x:f>I13-H13</x:f>
        <x:v>16</x:v>
      </x:c>
      <x:c r="K13" s="20" t="str">
        <x:v>reset, busy, tx_line, tx_fifo.count, rx_fifo.count</x:v>
      </x:c>
      <x:c r="L13" s="20" t="str">
        <x:v>Overview: reset pulse near 3.59 us</x:v>
      </x:c>
    </x:row>
    <x:row r="14" ht="58" customHeight="1">
      <x:c r="A14" s="21" t="str">
        <x:v>TC09</x:v>
      </x:c>
      <x:c r="B14" s="21" t="str">
        <x:v>Post-reset UART</x:v>
      </x:c>
      <x:c r="C14" s="20" t="str">
        <x:v>System has just completed reset flush.</x:v>
      </x:c>
      <x:c r="D14" s="20" t="str">
        <x:v>Send 8'h3C and pop it.</x:v>
      </x:c>
      <x:c r="E14" s="20" t="str">
        <x:v>Normal communication resumes and 3C is received.</x:v>
      </x:c>
      <x:c r="F14" s="20" t="str">
        <x:v>3C received and checked at 3946 ns.</x:v>
      </x:c>
      <x:c r="G14" s="21" t="str">
        <x:v>PASS</x:v>
      </x:c>
      <x:c r="H14" s="22" t="n">
        <x:v>3606</x:v>
      </x:c>
      <x:c r="I14" s="22" t="n">
        <x:v>3946</x:v>
      </x:c>
      <x:c r="J14" s="22" t="n">
        <x:f>I14-H14</x:f>
        <x:v>340</x:v>
      </x:c>
      <x:c r="K14" s="20" t="str">
        <x:v>wr_en, busy, tx_line, data_out, rdy_clr</x:v>
      </x:c>
      <x:c r="L14" s="20" t="str">
        <x:v>Overview: phase 9</x:v>
      </x:c>
    </x:row>
    <x:row r="15" ht="58" customHeight="1">
      <x:c r="A15" s="21" t="str">
        <x:v>TC10</x:v>
      </x:c>
      <x:c r="B15" s="21" t="str">
        <x:v>FIFO capacity</x:v>
      </x:c>
      <x:c r="C15" s="20" t="str">
        <x:v>Standalone 16-entry FIFO starts empty.</x:v>
      </x:c>
      <x:c r="D15" s="20" t="str">
        <x:v>Write 0..15, attempt EE while full, then read 16 entries.</x:v>
      </x:c>
      <x:c r="E15" s="20" t="str">
        <x:v>full asserts at 16; EE is ignored; values read 0..15; empty asserts afterward.</x:v>
      </x:c>
      <x:c r="F15" s="20" t="str">
        <x:v>Capacity, overflow protection, order, and empty checked at 4078 ns.</x:v>
      </x:c>
      <x:c r="G15" s="21" t="str">
        <x:v>PASS</x:v>
      </x:c>
      <x:c r="H15" s="22" t="n">
        <x:v>3946</x:v>
      </x:c>
      <x:c r="I15" s="22" t="n">
        <x:v>4078</x:v>
      </x:c>
      <x:c r="J15" s="22" t="n">
        <x:f>I15-H15</x:f>
        <x:v>132</x:v>
      </x:c>
      <x:c r="K15" s="20" t="str">
        <x:v>fifo_wr_en, fifo_rd_en, fifo_unit.count, fifo_full, fifo_empty</x:v>
      </x:c>
      <x:c r="L15" s="20" t="str">
        <x:v>FIFO detail figure: TC10</x:v>
      </x:c>
    </x:row>
    <x:row r="16" ht="58" customHeight="1">
      <x:c r="A16" s="21" t="str">
        <x:v>TC11</x:v>
      </x:c>
      <x:c r="B16" s="21" t="str">
        <x:v>FIFO simultaneous I/O</x:v>
      </x:c>
      <x:c r="C16" s="20" t="str">
        <x:v>Standalone FIFO contains 5C.</x:v>
      </x:c>
      <x:c r="D16" s="20" t="str">
        <x:v>Assert read and write together with new byte D2.</x:v>
      </x:c>
      <x:c r="E16" s="20" t="str">
        <x:v>Count remains 1 and D2 becomes the new front.</x:v>
      </x:c>
      <x:c r="F16" s="20" t="str">
        <x:v>Count=1 and front=D2 checked at 4090 ns.</x:v>
      </x:c>
      <x:c r="G16" s="21" t="str">
        <x:v>PASS</x:v>
      </x:c>
      <x:c r="H16" s="22" t="n">
        <x:v>4078</x:v>
      </x:c>
      <x:c r="I16" s="22" t="n">
        <x:v>4090</x:v>
      </x:c>
      <x:c r="J16" s="22" t="n">
        <x:f>I16-H16</x:f>
        <x:v>12</x:v>
      </x:c>
      <x:c r="K16" s="20" t="str">
        <x:v>fifo_wr_en, fifo_rd_en, fifo_unit.count, fifo_rd_data</x:v>
      </x:c>
      <x:c r="L16" s="20" t="str">
        <x:v>FIFO detail figure: TC11</x:v>
      </x:c>
    </x:row>
    <x:row r="17" ht="58" customHeight="1">
      <x:c r="A17" s="21" t="str">
        <x:v>TC12</x:v>
      </x:c>
      <x:c r="B17" s="21" t="str">
        <x:v>FIFO wrap-around</x:v>
      </x:c>
      <x:c r="C17" s="20" t="str">
        <x:v>Pointers have already crossed a full 16-entry cycle.</x:v>
      </x:c>
      <x:c r="D17" s="20" t="str">
        <x:v>Write and read 9B.</x:v>
      </x:c>
      <x:c r="E17" s="20" t="str">
        <x:v>FIFO remains reusable; 9B reads correctly and empty asserts.</x:v>
      </x:c>
      <x:c r="F17" s="20" t="str">
        <x:v>9B and final empty state checked at 4098 ns.</x:v>
      </x:c>
      <x:c r="G17" s="21" t="str">
        <x:v>PASS</x:v>
      </x:c>
      <x:c r="H17" s="22" t="n">
        <x:v>4090</x:v>
      </x:c>
      <x:c r="I17" s="22" t="n">
        <x:v>4098</x:v>
      </x:c>
      <x:c r="J17" s="22" t="n">
        <x:f>I17-H17</x:f>
        <x:v>8</x:v>
      </x:c>
      <x:c r="K17" s="20" t="str">
        <x:v>fifo_wr_en, fifo_rd_en, fifo_unit.count, fifo_empty</x:v>
      </x:c>
      <x:c r="L17" s="20" t="str">
        <x:v>FIFO detail figure: TC12</x:v>
      </x:c>
    </x:row>
  </x:sheetData>
  <x:mergeCells>
    <x:mergeCell ref="A1:L1"/>
    <x:mergeCell ref="A2:L2"/>
    <x:mergeCell ref="A3:L3"/>
  </x:mergeCells>
  <x:conditionalFormatting sqref="G6:G1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RUN"/>
  </x:conditionalFormatting>
  <x:dataValidations count="1">
    <x:dataValidation type="list" sqref="G6:G17">
      <x:formula1>"PASS,FAIL,NOT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e235a402894c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2" hidden="0" customWidth="1"/>
    <x:col min="3" max="3" width="42" hidden="0" customWidth="1"/>
    <x:col min="4" max="4" width="48" hidden="0" customWidth="1"/>
    <x:col min="5" max="5" width="22" hidden="0" customWidth="1"/>
  </x:cols>
  <x:sheetData>
    <x:row r="1">
      <x:c r="A1" s="3" t="str">
        <x:v>UART / FIFO SIGNAL GUIDE</x:v>
      </x:c>
      <x:c r="B1" s="3"/>
      <x:c r="C1" s="3"/>
      <x:c r="D1" s="3"/>
      <x:c r="E1" s="3"/>
    </x:row>
    <x:row r="3">
      <x:c r="A3" s="52" t="str">
        <x:v>Signal</x:v>
      </x:c>
      <x:c r="B3" s="52" t="str">
        <x:v>Location</x:v>
      </x:c>
      <x:c r="C3" s="52" t="str">
        <x:v>Meaning</x:v>
      </x:c>
      <x:c r="D3" s="52" t="str">
        <x:v>Expected waveform behavior</x:v>
      </x:c>
      <x:c r="E3" s="52" t="str">
        <x:v>Used in tests</x:v>
      </x:c>
    </x:row>
    <x:row r="4" ht="48" customHeight="1">
      <x:c r="A4" s="58" t="str">
        <x:v>wr_en</x:v>
      </x:c>
      <x:c r="B4" s="56" t="str">
        <x:v>uart_top input</x:v>
      </x:c>
      <x:c r="C4" s="56" t="str">
        <x:v>One-clock request to enqueue data_in into TX FIFO.</x:v>
      </x:c>
      <x:c r="D4" s="56" t="str">
        <x:v>Short pulses may occur back-to-back even while busy is high.</x:v>
      </x:c>
      <x:c r="E4" s="56" t="str">
        <x:v>TC02-TC06, TC09</x:v>
      </x:c>
    </x:row>
    <x:row r="5" ht="48" customHeight="1">
      <x:c r="A5" s="58" t="str">
        <x:v>data_in[7:0]</x:v>
      </x:c>
      <x:c r="B5" s="56" t="str">
        <x:v>uart_top input</x:v>
      </x:c>
      <x:c r="C5" s="56" t="str">
        <x:v>Parallel byte written by the user.</x:v>
      </x:c>
      <x:c r="D5" s="56" t="str">
        <x:v>Stable around each wr_en pulse.</x:v>
      </x:c>
      <x:c r="E5" s="56" t="str">
        <x:v>TC02-TC06, TC09</x:v>
      </x:c>
    </x:row>
    <x:row r="6" ht="48" customHeight="1">
      <x:c r="A6" s="58" t="str">
        <x:v>tx_fifo.count</x:v>
      </x:c>
      <x:c r="B6" s="56" t="str">
        <x:v>TX FIFO internal</x:v>
      </x:c>
      <x:c r="C6" s="56" t="str">
        <x:v>Number of queued bytes waiting for the transmitter.</x:v>
      </x:c>
      <x:c r="D6" s="56" t="str">
        <x:v>Rises during burst, then falls once per transmitted frame.</x:v>
      </x:c>
      <x:c r="E6" s="56" t="str">
        <x:v>TC01, TC06, TC08</x:v>
      </x:c>
    </x:row>
    <x:row r="7" ht="48" customHeight="1">
      <x:c r="A7" s="58" t="str">
        <x:v>busy</x:v>
      </x:c>
      <x:c r="B7" s="56" t="str">
        <x:v>uart_top output</x:v>
      </x:c>
      <x:c r="C7" s="56" t="str">
        <x:v>Transmitter FSM is not IDLE.</x:v>
      </x:c>
      <x:c r="D7" s="56" t="str">
        <x:v>High for one UART frame; small low gaps occur between frames.</x:v>
      </x:c>
      <x:c r="E7" s="56" t="str">
        <x:v>TC01-TC09</x:v>
      </x:c>
    </x:row>
    <x:row r="8" ht="48" customHeight="1">
      <x:c r="A8" s="58" t="str">
        <x:v>tx_line</x:v>
      </x:c>
      <x:c r="B8" s="56" t="str">
        <x:v>internal loopback</x:v>
      </x:c>
      <x:c r="C8" s="56" t="str">
        <x:v>8-N-1 serial stream: idle 1, start 0, 8 LSB-first bits, stop 1.</x:v>
      </x:c>
      <x:c r="D8" s="56" t="str">
        <x:v>Shows exact UART bit pattern at TX_DIV=16 clocks per bit.</x:v>
      </x:c>
      <x:c r="E8" s="56" t="str">
        <x:v>TC01-TC09</x:v>
      </x:c>
    </x:row>
    <x:row r="9" ht="48" customHeight="1">
      <x:c r="A9" s="58" t="str">
        <x:v>rx_byte_ready</x:v>
      </x:c>
      <x:c r="B9" s="56" t="str">
        <x:v>receiver internal</x:v>
      </x:c>
      <x:c r="C9" s="56" t="str">
        <x:v>Receiver completed one valid frame.</x:v>
      </x:c>
      <x:c r="D9" s="56" t="str">
        <x:v>One short pulse per received byte after automatic FIFO capture.</x:v>
      </x:c>
      <x:c r="E9" s="56" t="str">
        <x:v>TC02-TC09</x:v>
      </x:c>
    </x:row>
    <x:row r="10" ht="48" customHeight="1">
      <x:c r="A10" s="58" t="str">
        <x:v>rx_byte[7:0]</x:v>
      </x:c>
      <x:c r="B10" s="56" t="str">
        <x:v>receiver internal</x:v>
      </x:c>
      <x:c r="C10" s="56" t="str">
        <x:v>Completed parallel byte before RX FIFO write.</x:v>
      </x:c>
      <x:c r="D10" s="56" t="str">
        <x:v>Changes once per valid received frame.</x:v>
      </x:c>
      <x:c r="E10" s="56" t="str">
        <x:v>TC02-TC09</x:v>
      </x:c>
    </x:row>
    <x:row r="11" ht="48" customHeight="1">
      <x:c r="A11" s="58" t="str">
        <x:v>rx_fifo.count</x:v>
      </x:c>
      <x:c r="B11" s="56" t="str">
        <x:v>RX FIFO internal</x:v>
      </x:c>
      <x:c r="C11" s="56" t="str">
        <x:v>Number of unread received bytes.</x:v>
      </x:c>
      <x:c r="D11" s="56" t="str">
        <x:v>Builds to 6 while reads are withheld; decreases on rdy_clr.</x:v>
      </x:c>
      <x:c r="E11" s="56" t="str">
        <x:v>TC01, TC07, TC08</x:v>
      </x:c>
    </x:row>
    <x:row r="12" ht="48" customHeight="1">
      <x:c r="A12" s="58" t="str">
        <x:v>rdy</x:v>
      </x:c>
      <x:c r="B12" s="56" t="str">
        <x:v>uart_top output</x:v>
      </x:c>
      <x:c r="C12" s="56" t="str">
        <x:v>At least one byte is present in RX FIFO.</x:v>
      </x:c>
      <x:c r="D12" s="56" t="str">
        <x:v>Remains high continuously while RX FIFO is non-empty.</x:v>
      </x:c>
      <x:c r="E12" s="56" t="str">
        <x:v>TC02-TC09</x:v>
      </x:c>
    </x:row>
    <x:row r="13" ht="48" customHeight="1">
      <x:c r="A13" s="58" t="str">
        <x:v>rdy_clr</x:v>
      </x:c>
      <x:c r="B13" s="56" t="str">
        <x:v>uart_top input</x:v>
      </x:c>
      <x:c r="C13" s="56" t="str">
        <x:v>Pop/acknowledge the current RX FIFO front byte.</x:v>
      </x:c>
      <x:c r="D13" s="56" t="str">
        <x:v>Each pulse removes one byte; data_out advances to the next byte.</x:v>
      </x:c>
      <x:c r="E13" s="56" t="str">
        <x:v>TC02-TC09</x:v>
      </x:c>
    </x:row>
    <x:row r="14" ht="48" customHeight="1">
      <x:c r="A14" s="58" t="str">
        <x:v>data_out[7:0]</x:v>
      </x:c>
      <x:c r="B14" s="56" t="str">
        <x:v>uart_top output</x:v>
      </x:c>
      <x:c r="C14" s="56" t="str">
        <x:v>Show-ahead value of the oldest RX FIFO byte.</x:v>
      </x:c>
      <x:c r="D14" s="56" t="str">
        <x:v>Stable until rdy_clr; advances in FIFO order.</x:v>
      </x:c>
      <x:c r="E14" s="56" t="str">
        <x:v>TC02-TC09</x:v>
      </x:c>
    </x:row>
    <x:row r="15" ht="48" customHeight="1">
      <x:c r="A15" s="58" t="str">
        <x:v>fifo_full</x:v>
      </x:c>
      <x:c r="B15" s="56" t="str">
        <x:v>standalone FIFO</x:v>
      </x:c>
      <x:c r="C15" s="56" t="str">
        <x:v>Count reached 16 entries.</x:v>
      </x:c>
      <x:c r="D15" s="56" t="str">
        <x:v>High only while count is 16; blocks overflow write.</x:v>
      </x:c>
      <x:c r="E15" s="56" t="str">
        <x:v>TC10</x:v>
      </x:c>
    </x:row>
    <x:row r="16" ht="48" customHeight="1">
      <x:c r="A16" s="58" t="str">
        <x:v>fifo_empty</x:v>
      </x:c>
      <x:c r="B16" s="56" t="str">
        <x:v>standalone FIFO</x:v>
      </x:c>
      <x:c r="C16" s="56" t="str">
        <x:v>Count is zero.</x:v>
      </x:c>
      <x:c r="D16" s="56" t="str">
        <x:v>High after reset and after final pop.</x:v>
      </x:c>
      <x:c r="E16" s="56" t="str">
        <x:v>TC10-TC12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1b9a8ff1dd4eb1"/>
  </x:tableParts>
</x:worksheet>
</file>